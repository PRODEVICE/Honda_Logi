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8_{452B2383-D1B6-4C15-B6B2-20CC881310A8}" xr6:coauthVersionLast="47" xr6:coauthVersionMax="47" xr10:uidLastSave="{00000000-0000-0000-0000-000000000000}"/>
  <bookViews>
    <workbookView xWindow="28680" yWindow="1965" windowWidth="25440" windowHeight="15390" xr2:uid="{8DDBEA3C-F131-4B47-9603-2E5186CE90A5}"/>
  </bookViews>
  <sheets>
    <sheet name="モジュール別包装費明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0" i="1"/>
  <c r="F28" i="1"/>
  <c r="F27" i="1"/>
  <c r="F26" i="1"/>
  <c r="F25" i="1"/>
  <c r="F24" i="1"/>
  <c r="F23" i="1"/>
  <c r="F22" i="1"/>
  <c r="F21" i="1"/>
  <c r="F31" i="1" s="1"/>
  <c r="F19" i="1"/>
  <c r="F18" i="1"/>
  <c r="F17" i="1"/>
  <c r="F16" i="1"/>
  <c r="F15" i="1"/>
  <c r="F20" i="1" s="1"/>
  <c r="F13" i="1"/>
  <c r="F12" i="1"/>
  <c r="F14" i="1" s="1"/>
  <c r="F10" i="1"/>
  <c r="F9" i="1"/>
  <c r="F11" i="1" l="1"/>
  <c r="F32" i="1"/>
</calcChain>
</file>

<file path=xl/sharedStrings.xml><?xml version="1.0" encoding="utf-8"?>
<sst xmlns="http://schemas.openxmlformats.org/spreadsheetml/2006/main" count="34" uniqueCount="34">
  <si>
    <t>■2025年09月度　モジュール別包装費明細</t>
    <rPh sb="16" eb="17">
      <t>ベツ</t>
    </rPh>
    <rPh sb="17" eb="19">
      <t>ホウソウ</t>
    </rPh>
    <rPh sb="19" eb="20">
      <t>ヒ</t>
    </rPh>
    <rPh sb="20" eb="22">
      <t>メイサイ</t>
    </rPh>
    <phoneticPr fontId="1"/>
  </si>
  <si>
    <t>DIST：</t>
    <phoneticPr fontId="3"/>
  </si>
  <si>
    <t>機種：</t>
    <rPh sb="0" eb="2">
      <t>キシュ</t>
    </rPh>
    <phoneticPr fontId="3"/>
  </si>
  <si>
    <t>モジュール№：</t>
    <phoneticPr fontId="3"/>
  </si>
  <si>
    <t>モデフ：</t>
    <phoneticPr fontId="3"/>
  </si>
  <si>
    <t>カテゴリ</t>
    <phoneticPr fontId="3"/>
  </si>
  <si>
    <t>業務内容</t>
    <rPh sb="0" eb="2">
      <t>ギョウム</t>
    </rPh>
    <rPh sb="2" eb="4">
      <t>ナイヨウ</t>
    </rPh>
    <phoneticPr fontId="3"/>
  </si>
  <si>
    <t>工数(秒)</t>
    <rPh sb="0" eb="2">
      <t>コウスウ</t>
    </rPh>
    <rPh sb="3" eb="4">
      <t>ビョウ</t>
    </rPh>
    <phoneticPr fontId="3"/>
  </si>
  <si>
    <t>点数</t>
    <rPh sb="0" eb="2">
      <t>テンスウ</t>
    </rPh>
    <phoneticPr fontId="3"/>
  </si>
  <si>
    <t>総工数(秒）</t>
    <rPh sb="0" eb="1">
      <t>ソウ</t>
    </rPh>
    <rPh sb="1" eb="3">
      <t>コウスウ</t>
    </rPh>
    <rPh sb="4" eb="5">
      <t>ビョウ</t>
    </rPh>
    <phoneticPr fontId="3"/>
  </si>
  <si>
    <t>作業準備</t>
    <rPh sb="0" eb="2">
      <t>サギョウ</t>
    </rPh>
    <rPh sb="2" eb="4">
      <t>ジュンビ</t>
    </rPh>
    <phoneticPr fontId="3"/>
  </si>
  <si>
    <t>a)単品部品総数</t>
    <rPh sb="2" eb="8">
      <t>タンピンブヒンソウスウ</t>
    </rPh>
    <phoneticPr fontId="4"/>
  </si>
  <si>
    <t>b)部品点数(1部品毎に1)</t>
    <rPh sb="2" eb="6">
      <t>ブヒンテンスウ</t>
    </rPh>
    <rPh sb="8" eb="11">
      <t>ブヒンゴト</t>
    </rPh>
    <phoneticPr fontId="4"/>
  </si>
  <si>
    <t>個装作業</t>
    <rPh sb="0" eb="2">
      <t>コソウ</t>
    </rPh>
    <rPh sb="2" eb="4">
      <t>サギョウ</t>
    </rPh>
    <phoneticPr fontId="3"/>
  </si>
  <si>
    <t>c)防錆回数</t>
    <rPh sb="2" eb="6">
      <t>ボウセイカイスウ</t>
    </rPh>
    <phoneticPr fontId="4"/>
  </si>
  <si>
    <t>d)個装数(デジタル計量部品)</t>
    <rPh sb="2" eb="5">
      <t>コソウスウ</t>
    </rPh>
    <rPh sb="10" eb="12">
      <t>ケイリョウ</t>
    </rPh>
    <rPh sb="12" eb="14">
      <t>ブヒン</t>
    </rPh>
    <phoneticPr fontId="4"/>
  </si>
  <si>
    <t>内装作業</t>
    <rPh sb="0" eb="2">
      <t>ナイソウ</t>
    </rPh>
    <rPh sb="2" eb="4">
      <t>サギョウ</t>
    </rPh>
    <phoneticPr fontId="3"/>
  </si>
  <si>
    <t>e)内装資材数</t>
    <rPh sb="2" eb="7">
      <t>ナイソウシザイスウ</t>
    </rPh>
    <phoneticPr fontId="4"/>
  </si>
  <si>
    <t>f)カートン数</t>
    <rPh sb="6" eb="7">
      <t>スウ</t>
    </rPh>
    <phoneticPr fontId="4"/>
  </si>
  <si>
    <t>f')リターナブル容器数</t>
    <rPh sb="9" eb="11">
      <t>ヨウキ</t>
    </rPh>
    <rPh sb="11" eb="12">
      <t>スウ</t>
    </rPh>
    <phoneticPr fontId="2"/>
  </si>
  <si>
    <t>g)ENG発砲罪数</t>
    <rPh sb="5" eb="9">
      <t>ハッポウザイスウ</t>
    </rPh>
    <phoneticPr fontId="4"/>
  </si>
  <si>
    <t>h)積み付け回数</t>
    <rPh sb="2" eb="3">
      <t>ツ</t>
    </rPh>
    <rPh sb="4" eb="5">
      <t>ツ</t>
    </rPh>
    <rPh sb="6" eb="8">
      <t>カイスウ</t>
    </rPh>
    <phoneticPr fontId="4"/>
  </si>
  <si>
    <t>外装作業</t>
    <rPh sb="0" eb="2">
      <t>ガイソウ</t>
    </rPh>
    <rPh sb="2" eb="4">
      <t>サギョウ</t>
    </rPh>
    <phoneticPr fontId="3"/>
  </si>
  <si>
    <t>i)パネルケース数</t>
    <rPh sb="8" eb="9">
      <t>スウ</t>
    </rPh>
    <phoneticPr fontId="4"/>
  </si>
  <si>
    <t>j)スカシケース数</t>
    <rPh sb="8" eb="9">
      <t>スウ</t>
    </rPh>
    <phoneticPr fontId="4"/>
  </si>
  <si>
    <t>k)外装用段ボールパット使用数</t>
    <rPh sb="2" eb="6">
      <t>ガイソウヨウダン</t>
    </rPh>
    <rPh sb="12" eb="15">
      <t>シヨウスウ</t>
    </rPh>
    <phoneticPr fontId="4"/>
  </si>
  <si>
    <t>l)外装用箱型ポリ袋</t>
    <rPh sb="2" eb="5">
      <t>ガイソウヨウ</t>
    </rPh>
    <rPh sb="5" eb="7">
      <t>ハコガタ</t>
    </rPh>
    <rPh sb="9" eb="10">
      <t>ブクロ</t>
    </rPh>
    <phoneticPr fontId="4"/>
  </si>
  <si>
    <t>m)外装用ボルト使用数</t>
    <rPh sb="2" eb="5">
      <t>ガイソウヨウ</t>
    </rPh>
    <rPh sb="8" eb="11">
      <t>シヨウスウ</t>
    </rPh>
    <phoneticPr fontId="4"/>
  </si>
  <si>
    <t>n)外装用副資材使用数</t>
    <rPh sb="2" eb="11">
      <t>ガイソウヨウフクシザイシヨウスウ</t>
    </rPh>
    <phoneticPr fontId="4"/>
  </si>
  <si>
    <t>o)外直部品総数</t>
    <rPh sb="2" eb="8">
      <t>ガイチョクブヒンソウスウ</t>
    </rPh>
    <phoneticPr fontId="4"/>
  </si>
  <si>
    <t>p)外直の防錆回数</t>
    <rPh sb="2" eb="4">
      <t>ガイチョク</t>
    </rPh>
    <rPh sb="5" eb="9">
      <t>ボウセイカイスウ</t>
    </rPh>
    <phoneticPr fontId="2"/>
  </si>
  <si>
    <t>q)外装ケース数</t>
    <rPh sb="2" eb="4">
      <t>ガイソウ</t>
    </rPh>
    <rPh sb="7" eb="8">
      <t>スウ</t>
    </rPh>
    <phoneticPr fontId="2"/>
  </si>
  <si>
    <t>r)部品点数(1部品毎に1)</t>
    <rPh sb="2" eb="6">
      <t>ブヒンテンスウ</t>
    </rPh>
    <rPh sb="8" eb="11">
      <t>ブヒンゴト</t>
    </rPh>
    <phoneticPr fontId="2"/>
  </si>
  <si>
    <t>合計</t>
    <rPh sb="0" eb="2">
      <t>ゴウケイ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</si>
</sst>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>
      <alignment vertical="center"/>
    </xf>
    <xf numFmtId="0" fontId="2" fillId="0" borderId="11" xfId="0" applyFont="1" applyBorder="1" applyAlignment="1">
      <alignment horizontal="right"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right" vertical="center"/>
    </xf>
    <xf numFmtId="0" fontId="2" fillId="0" borderId="13" xfId="0" applyFont="1" applyBorder="1">
      <alignment vertical="center"/>
    </xf>
    <xf numFmtId="0" fontId="2" fillId="0" borderId="13" xfId="0" applyFont="1" applyBorder="1" applyAlignment="1">
      <alignment horizontal="right" vertical="center"/>
    </xf>
    <xf numFmtId="0" fontId="2" fillId="0" borderId="9" xfId="0" applyFont="1" applyBorder="1">
      <alignment vertical="center"/>
    </xf>
    <xf numFmtId="0" fontId="2" fillId="0" borderId="14" xfId="0" applyFont="1" applyBorder="1">
      <alignment vertical="center"/>
    </xf>
    <xf numFmtId="0" fontId="2" fillId="2" borderId="15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0</xdr:row>
      <xdr:rowOff>0</xdr:rowOff>
    </xdr:from>
    <xdr:to>
      <xdr:col>1</xdr:col>
      <xdr:colOff>645272</xdr:colOff>
      <xdr:row>1</xdr:row>
      <xdr:rowOff>115038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5956303-473D-474E-A542-5E523288803C}"/>
            </a:ext>
          </a:extLst>
        </xdr:cNvPr>
        <xdr:cNvSpPr txBox="1"/>
      </xdr:nvSpPr>
      <xdr:spPr>
        <a:xfrm>
          <a:off x="1003300" y="0"/>
          <a:ext cx="327772" cy="296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1</xdr:col>
      <xdr:colOff>107950</xdr:colOff>
      <xdr:row>1</xdr:row>
      <xdr:rowOff>95250</xdr:rowOff>
    </xdr:from>
    <xdr:to>
      <xdr:col>1</xdr:col>
      <xdr:colOff>435722</xdr:colOff>
      <xdr:row>3</xdr:row>
      <xdr:rowOff>38838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C1194C0-7863-4163-AB63-3AA3E46EC093}"/>
            </a:ext>
          </a:extLst>
        </xdr:cNvPr>
        <xdr:cNvSpPr txBox="1"/>
      </xdr:nvSpPr>
      <xdr:spPr>
        <a:xfrm>
          <a:off x="793750" y="276225"/>
          <a:ext cx="327772" cy="305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3</xdr:col>
      <xdr:colOff>317499</xdr:colOff>
      <xdr:row>5</xdr:row>
      <xdr:rowOff>128122</xdr:rowOff>
    </xdr:from>
    <xdr:to>
      <xdr:col>3</xdr:col>
      <xdr:colOff>645271</xdr:colOff>
      <xdr:row>7</xdr:row>
      <xdr:rowOff>71710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CA933FC0-EDA6-413B-83B1-75A96566C6AA}"/>
            </a:ext>
          </a:extLst>
        </xdr:cNvPr>
        <xdr:cNvSpPr txBox="1"/>
      </xdr:nvSpPr>
      <xdr:spPr>
        <a:xfrm>
          <a:off x="3641724" y="1032997"/>
          <a:ext cx="327772" cy="305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1100">
            <a:solidFill>
              <a:srgbClr val="FF0000"/>
            </a:solidFill>
          </a:endParaRPr>
        </a:p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5B74-F033-486F-86E4-9BBF631A195A}">
  <sheetPr>
    <tabColor theme="0"/>
    <pageSetUpPr fitToPage="1"/>
  </sheetPr>
  <dimension ref="B2:F32"/>
  <sheetViews>
    <sheetView tabSelected="1" topLeftCell="A4" zoomScale="85" zoomScaleNormal="85" workbookViewId="0">
      <selection activeCell="J26" sqref="J26"/>
    </sheetView>
  </sheetViews>
  <sheetFormatPr defaultColWidth="9" defaultRowHeight="14.25" x14ac:dyDescent="0.4"/>
  <cols>
    <col min="1" max="1" width="9" style="1"/>
    <col min="2" max="2" width="11.125" style="1" customWidth="1"/>
    <col min="3" max="3" width="23.5" style="1" bestFit="1" customWidth="1"/>
    <col min="4" max="6" width="11.125" style="1" customWidth="1"/>
    <col min="7" max="16384" width="9" style="1"/>
  </cols>
  <sheetData>
    <row r="2" spans="2:6" x14ac:dyDescent="0.4">
      <c r="B2" s="1" t="s">
        <v>0</v>
      </c>
    </row>
    <row r="3" spans="2:6" x14ac:dyDescent="0.4">
      <c r="B3" s="2" t="s">
        <v>1</v>
      </c>
      <c r="C3" s="1">
        <v>321</v>
      </c>
    </row>
    <row r="4" spans="2:6" x14ac:dyDescent="0.4">
      <c r="B4" s="2" t="s">
        <v>2</v>
      </c>
      <c r="D4" s="2"/>
      <c r="F4" s="2"/>
    </row>
    <row r="5" spans="2:6" x14ac:dyDescent="0.4">
      <c r="B5" s="2" t="s">
        <v>3</v>
      </c>
      <c r="D5" s="2"/>
      <c r="F5" s="2"/>
    </row>
    <row r="6" spans="2:6" x14ac:dyDescent="0.4">
      <c r="B6" s="2" t="s">
        <v>4</v>
      </c>
      <c r="D6" s="2"/>
      <c r="F6" s="2"/>
    </row>
    <row r="7" spans="2:6" x14ac:dyDescent="0.4">
      <c r="B7" s="3"/>
      <c r="C7" s="3"/>
      <c r="D7" s="3"/>
      <c r="E7" s="3"/>
      <c r="F7" s="3"/>
    </row>
    <row r="8" spans="2:6" x14ac:dyDescent="0.4">
      <c r="B8" s="4" t="s">
        <v>5</v>
      </c>
      <c r="C8" s="5" t="s">
        <v>6</v>
      </c>
      <c r="D8" s="5" t="s">
        <v>7</v>
      </c>
      <c r="E8" s="5" t="s">
        <v>8</v>
      </c>
      <c r="F8" s="5" t="s">
        <v>9</v>
      </c>
    </row>
    <row r="9" spans="2:6" x14ac:dyDescent="0.4">
      <c r="B9" s="6" t="s">
        <v>10</v>
      </c>
      <c r="C9" s="7" t="s">
        <v>11</v>
      </c>
      <c r="D9" s="8"/>
      <c r="E9" s="8"/>
      <c r="F9" s="7">
        <f>ROUND(D9*E9,0)</f>
        <v>0</v>
      </c>
    </row>
    <row r="10" spans="2:6" x14ac:dyDescent="0.4">
      <c r="B10" s="9"/>
      <c r="C10" s="10" t="s">
        <v>12</v>
      </c>
      <c r="D10" s="11"/>
      <c r="E10" s="11"/>
      <c r="F10" s="11">
        <f>ROUND(D10*E10,0)</f>
        <v>0</v>
      </c>
    </row>
    <row r="11" spans="2:6" x14ac:dyDescent="0.4">
      <c r="B11" s="12"/>
      <c r="C11" s="13"/>
      <c r="D11" s="14"/>
      <c r="E11" s="15"/>
      <c r="F11" s="11">
        <f>SUM(F9:F10)</f>
        <v>0</v>
      </c>
    </row>
    <row r="12" spans="2:6" x14ac:dyDescent="0.4">
      <c r="B12" s="6" t="s">
        <v>13</v>
      </c>
      <c r="C12" s="7" t="s">
        <v>14</v>
      </c>
      <c r="D12" s="8"/>
      <c r="E12" s="8"/>
      <c r="F12" s="7">
        <f>ROUND(D12*E12,0)</f>
        <v>0</v>
      </c>
    </row>
    <row r="13" spans="2:6" x14ac:dyDescent="0.4">
      <c r="B13" s="9"/>
      <c r="C13" s="10" t="s">
        <v>15</v>
      </c>
      <c r="D13" s="11"/>
      <c r="E13" s="11"/>
      <c r="F13" s="10">
        <f>ROUND(D13*E13,0)</f>
        <v>0</v>
      </c>
    </row>
    <row r="14" spans="2:6" x14ac:dyDescent="0.4">
      <c r="B14" s="12"/>
      <c r="C14" s="16"/>
      <c r="D14" s="17"/>
      <c r="E14" s="15"/>
      <c r="F14" s="10">
        <f>SUM(F12:F13)</f>
        <v>0</v>
      </c>
    </row>
    <row r="15" spans="2:6" x14ac:dyDescent="0.4">
      <c r="B15" s="9" t="s">
        <v>16</v>
      </c>
      <c r="C15" s="18" t="s">
        <v>17</v>
      </c>
      <c r="D15" s="19"/>
      <c r="E15" s="19"/>
      <c r="F15" s="18">
        <f>ROUND(D15*E15,0)</f>
        <v>0</v>
      </c>
    </row>
    <row r="16" spans="2:6" x14ac:dyDescent="0.4">
      <c r="B16" s="9"/>
      <c r="C16" s="18" t="s">
        <v>18</v>
      </c>
      <c r="D16" s="19"/>
      <c r="E16" s="19"/>
      <c r="F16" s="18">
        <f>ROUND(D16*E16,0)</f>
        <v>0</v>
      </c>
    </row>
    <row r="17" spans="2:6" x14ac:dyDescent="0.4">
      <c r="B17" s="9"/>
      <c r="C17" s="18" t="s">
        <v>19</v>
      </c>
      <c r="D17" s="19"/>
      <c r="E17" s="19"/>
      <c r="F17" s="18">
        <f>ROUND(D17*E17,0)</f>
        <v>0</v>
      </c>
    </row>
    <row r="18" spans="2:6" x14ac:dyDescent="0.4">
      <c r="B18" s="9"/>
      <c r="C18" s="18" t="s">
        <v>20</v>
      </c>
      <c r="D18" s="19"/>
      <c r="E18" s="19"/>
      <c r="F18" s="18">
        <f>ROUND(D18*E18,0)</f>
        <v>0</v>
      </c>
    </row>
    <row r="19" spans="2:6" x14ac:dyDescent="0.4">
      <c r="B19" s="9"/>
      <c r="C19" s="10" t="s">
        <v>21</v>
      </c>
      <c r="D19" s="11"/>
      <c r="E19" s="11"/>
      <c r="F19" s="10">
        <f>ROUND(D19*E19,0)</f>
        <v>0</v>
      </c>
    </row>
    <row r="20" spans="2:6" x14ac:dyDescent="0.4">
      <c r="B20" s="12"/>
      <c r="C20" s="16"/>
      <c r="D20" s="17"/>
      <c r="E20" s="15"/>
      <c r="F20" s="10">
        <f>SUM(F15:F19)</f>
        <v>0</v>
      </c>
    </row>
    <row r="21" spans="2:6" x14ac:dyDescent="0.4">
      <c r="B21" s="6" t="s">
        <v>22</v>
      </c>
      <c r="C21" s="7" t="s">
        <v>23</v>
      </c>
      <c r="D21" s="8"/>
      <c r="E21" s="8"/>
      <c r="F21" s="7">
        <f t="shared" ref="F21:F30" si="0">ROUND(D21*E21,0)</f>
        <v>0</v>
      </c>
    </row>
    <row r="22" spans="2:6" x14ac:dyDescent="0.4">
      <c r="B22" s="9"/>
      <c r="C22" s="18" t="s">
        <v>24</v>
      </c>
      <c r="D22" s="19"/>
      <c r="E22" s="19"/>
      <c r="F22" s="18">
        <f t="shared" si="0"/>
        <v>0</v>
      </c>
    </row>
    <row r="23" spans="2:6" x14ac:dyDescent="0.4">
      <c r="B23" s="9"/>
      <c r="C23" s="18" t="s">
        <v>25</v>
      </c>
      <c r="D23" s="19"/>
      <c r="E23" s="19"/>
      <c r="F23" s="18">
        <f t="shared" si="0"/>
        <v>0</v>
      </c>
    </row>
    <row r="24" spans="2:6" x14ac:dyDescent="0.4">
      <c r="B24" s="9"/>
      <c r="C24" s="18" t="s">
        <v>26</v>
      </c>
      <c r="D24" s="19"/>
      <c r="E24" s="19"/>
      <c r="F24" s="18">
        <f t="shared" si="0"/>
        <v>0</v>
      </c>
    </row>
    <row r="25" spans="2:6" x14ac:dyDescent="0.4">
      <c r="B25" s="9"/>
      <c r="C25" s="18" t="s">
        <v>27</v>
      </c>
      <c r="D25" s="19"/>
      <c r="E25" s="19"/>
      <c r="F25" s="18">
        <f t="shared" si="0"/>
        <v>0</v>
      </c>
    </row>
    <row r="26" spans="2:6" x14ac:dyDescent="0.4">
      <c r="B26" s="9"/>
      <c r="C26" s="18" t="s">
        <v>28</v>
      </c>
      <c r="D26" s="19"/>
      <c r="E26" s="19"/>
      <c r="F26" s="18">
        <f t="shared" si="0"/>
        <v>0</v>
      </c>
    </row>
    <row r="27" spans="2:6" x14ac:dyDescent="0.4">
      <c r="B27" s="9"/>
      <c r="C27" s="18" t="s">
        <v>29</v>
      </c>
      <c r="D27" s="19"/>
      <c r="E27" s="19"/>
      <c r="F27" s="18">
        <f t="shared" si="0"/>
        <v>0</v>
      </c>
    </row>
    <row r="28" spans="2:6" x14ac:dyDescent="0.4">
      <c r="B28" s="9"/>
      <c r="C28" s="18" t="s">
        <v>30</v>
      </c>
      <c r="D28" s="19"/>
      <c r="E28" s="19"/>
      <c r="F28" s="18">
        <f t="shared" si="0"/>
        <v>0</v>
      </c>
    </row>
    <row r="29" spans="2:6" x14ac:dyDescent="0.4">
      <c r="B29" s="9"/>
      <c r="C29" s="20" t="s">
        <v>31</v>
      </c>
      <c r="D29" s="21"/>
      <c r="E29" s="21"/>
      <c r="F29" s="18">
        <f t="shared" si="0"/>
        <v>0</v>
      </c>
    </row>
    <row r="30" spans="2:6" x14ac:dyDescent="0.4">
      <c r="B30" s="9"/>
      <c r="C30" s="22" t="s">
        <v>32</v>
      </c>
      <c r="D30" s="23"/>
      <c r="E30" s="23"/>
      <c r="F30" s="22">
        <f t="shared" si="0"/>
        <v>0</v>
      </c>
    </row>
    <row r="31" spans="2:6" x14ac:dyDescent="0.4">
      <c r="B31" s="12"/>
      <c r="C31" s="13"/>
      <c r="D31" s="13"/>
      <c r="E31" s="24"/>
      <c r="F31" s="25">
        <f>SUM(F21:F30)</f>
        <v>0</v>
      </c>
    </row>
    <row r="32" spans="2:6" x14ac:dyDescent="0.4">
      <c r="B32" s="26" t="s">
        <v>33</v>
      </c>
      <c r="C32" s="27"/>
      <c r="D32" s="27"/>
      <c r="E32" s="28"/>
      <c r="F32" s="25">
        <f>SUM(F31,F20,F14,F11)</f>
        <v>0</v>
      </c>
    </row>
  </sheetData>
  <phoneticPr fontId="3"/>
  <pageMargins left="0.7" right="0.7" top="0.75" bottom="0.75" header="0.3" footer="0.3"/>
  <pageSetup paperSize="9"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モジュール別包装費明細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2025-12-15T06:11:34Z</dcterms:created>
  <dcterms:modified xsi:type="dcterms:W3CDTF">2025-12-15T06:14:11Z</dcterms:modified>
</cp:coreProperties>
</file>